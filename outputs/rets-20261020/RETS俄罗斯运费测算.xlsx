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328a5a674f47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TS俄罗斯测算" sheetId="1" r:id="R00133e11c2354e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"/>
    <x:numFmt numFmtId="201" formatCode="0.0000"/>
    <x:numFmt numFmtId="202" formatCode="0.000000"/>
    <x:numFmt numFmtId="203" formatCode="0.0"/>
    <x:numFmt numFmtId="204" formatCode="0"/>
  </x:numFmts>
  <x:fonts count="5">
    <x:font>
      <x:sz val="11"/>
      <x:name val="Carlito"/>
    </x:font>
    <x:font>
      <x:sz val="11"/>
      <x:color rgb="FF17243A"/>
      <x:name val="Arial"/>
    </x:font>
    <x:font>
      <x:b/>
      <x:sz val="16"/>
      <x:color rgb="FF17243A"/>
      <x:name val="Arial"/>
    </x:font>
    <x:font>
      <x:sz val="10"/>
      <x:color rgb="FF65738A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1C365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1" fontId="1" fillId="2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202" fontId="1" fillId="2" borderId="0" xfId="0" applyNumberFormat="1" applyFont="1" applyFill="1" applyBorder="1"/>
    <x:xf numFmtId="203" fontId="1" fillId="2" borderId="0" xfId="0" applyNumberFormat="1" applyFont="1" applyFill="1" applyBorder="1"/>
    <x:xf numFmtId="204" fontId="1" fillId="0" borderId="0" xfId="0" applyNumberFormat="1" applyFont="1" applyFill="1" applyBorder="1"/>
    <x:xf numFmtId="0" fontId="1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horizontal="center" wrapText="1"/>
    </x:xf>
    <x:xf numFmtId="0" fontId="4" fillId="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1384d914fb40ba" /><Relationship Type="http://schemas.openxmlformats.org/officeDocument/2006/relationships/theme" Target="/xl/theme/theme1.xml" Id="R4e62ab47934d4693" /><Relationship Type="http://schemas.openxmlformats.org/officeDocument/2006/relationships/sharedStrings" Target="/xl/sharedStrings.xml" Id="R8725540f955d4226" /><Relationship Type="http://schemas.openxmlformats.org/officeDocument/2006/relationships/worksheet" Target="/xl/worksheets/sheet1.xml" Id="R00133e11c2354e1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4" topLeftCell="A15" activePane="bottomLeft" state="frozen"/>
    </x:sheetView>
  </x:sheetViews>
  <x:sheetFormatPr defaultRowHeight="15"/>
  <x:cols>
    <x:col min="2" max="2" width="33" hidden="0" customWidth="1"/>
    <x:col min="3" max="3" width="23" hidden="0" customWidth="1"/>
    <x:col min="4" max="4" width="23" hidden="0" customWidth="1"/>
    <x:col min="5" max="5" width="16" hidden="0" customWidth="1"/>
    <x:col min="6" max="6" width="16" hidden="0" customWidth="1"/>
    <x:col min="7" max="7" width="16" hidden="0" customWidth="1"/>
    <x:col min="8" max="8" width="22" hidden="0" customWidth="1"/>
    <x:col min="9" max="9" width="32" hidden="0" customWidth="1"/>
    <x:col min="10" max="10" width="25" hidden="0" customWidth="1"/>
  </x:cols>
  <x:sheetData>
    <x:row r="1" ht="24" customHeight="1">
      <x:c r="B1" s="2" t="str">
        <x:v>RETS 俄罗斯运费测算</x:v>
      </x:c>
      <x:c r="C1" s="1"/>
      <x:c r="D1" s="1"/>
      <x:c r="E1" s="1"/>
      <x:c r="F1" s="1"/>
      <x:c r="G1" s="1"/>
      <x:c r="H1" s="1"/>
      <x:c r="I1" s="1"/>
      <x:c r="J1" s="1"/>
    </x:row>
    <x:row r="2" ht="38" customHeight="1">
      <x:c r="B2" s="15" t="str">
        <x:v>档位（与图二行序一致）</x:v>
      </x:c>
      <x:c r="C2" s="15" t="str">
        <x:v>货值（RUB）</x:v>
      </x:c>
      <x:c r="D2" s="15" t="str">
        <x:v>实重（kg）</x:v>
      </x:c>
      <x:c r="E2" s="15" t="str">
        <x:v>票费（CNY）</x:v>
      </x:c>
      <x:c r="F2" s="15" t="str">
        <x:v>重量费（元/kg）</x:v>
      </x:c>
      <x:c r="G2" s="1"/>
      <x:c r="H2" s="1"/>
      <x:c r="I2" s="1" t="str">
        <x:v>汇率：1 CNY = RUB</x:v>
      </x:c>
      <x:c r="J2" s="5" t="n">
        <x:v>12</x:v>
      </x:c>
    </x:row>
    <x:row r="3" ht="24" customHeight="1">
      <x:c r="B3" s="1" t="str">
        <x:v>1 Extra Small Economy</x:v>
      </x:c>
      <x:c r="C3" s="1" t="str">
        <x:v>1～1500</x:v>
      </x:c>
      <x:c r="D3" s="1" t="str">
        <x:v>≤0.5</x:v>
      </x:c>
      <x:c r="E3" s="3" t="n">
        <x:v>3.37</x:v>
      </x:c>
      <x:c r="F3" s="3" t="n">
        <x:v>28.1</x:v>
      </x:c>
      <x:c r="G3" s="1"/>
      <x:c r="H3" s="1"/>
      <x:c r="I3" s="1" t="str">
        <x:v>1500 RUB 对应 CNY</x:v>
      </x:c>
      <x:c r="J3" s="4" t="n">
        <x:f>IF(AND(ISNUMBER($J$2),$J$2&gt;0),1500/$J$2,"汇率无效")</x:f>
        <x:v>125</x:v>
      </x:c>
    </x:row>
    <x:row r="4" ht="24" customHeight="1">
      <x:c r="B4" s="1" t="str">
        <x:v>2 Small Economy</x:v>
      </x:c>
      <x:c r="C4" s="1" t="str">
        <x:v>&gt;1500～7000</x:v>
      </x:c>
      <x:c r="D4" s="1" t="str">
        <x:v>≤2</x:v>
      </x:c>
      <x:c r="E4" s="3" t="n">
        <x:v>17.97</x:v>
      </x:c>
      <x:c r="F4" s="3" t="n">
        <x:v>28.1</x:v>
      </x:c>
      <x:c r="G4" s="1"/>
      <x:c r="H4" s="1"/>
      <x:c r="I4" s="1" t="str">
        <x:v>7000 RUB 对应 CNY</x:v>
      </x:c>
      <x:c r="J4" s="4" t="n">
        <x:f>IF(AND(ISNUMBER($J$2),$J$2&gt;0),7000/$J$2,"汇率无效")</x:f>
        <x:v>583.3333333333334</x:v>
      </x:c>
    </x:row>
    <x:row r="5" ht="24" customHeight="1">
      <x:c r="B5" s="1" t="str">
        <x:v>3 Premium Small Economy</x:v>
      </x:c>
      <x:c r="C5" s="1" t="str">
        <x:v>&gt;7000～250000</x:v>
      </x:c>
      <x:c r="D5" s="1" t="str">
        <x:v>≤5</x:v>
      </x:c>
      <x:c r="E5" s="3" t="n">
        <x:v>24.71</x:v>
      </x:c>
      <x:c r="F5" s="3" t="n">
        <x:v>28.1</x:v>
      </x:c>
      <x:c r="G5" s="1"/>
      <x:c r="H5" s="1"/>
      <x:c r="I5" s="1" t="str">
        <x:v>250000 RUB 对应 CNY</x:v>
      </x:c>
      <x:c r="J5" s="4" t="n">
        <x:f>IF(AND(ISNUMBER($J$2),$J$2&gt;0),250000/$J$2,"汇率无效")</x:f>
        <x:v>20833.333333333332</x:v>
      </x:c>
    </x:row>
    <x:row r="6" ht="24" customHeight="1">
      <x:c r="B6" s="1" t="str">
        <x:v>4 Budget Economy</x:v>
      </x:c>
      <x:c r="C6" s="1" t="str">
        <x:v>1～1500</x:v>
      </x:c>
      <x:c r="D6" s="1" t="str">
        <x:v>0.5～30</x:v>
      </x:c>
      <x:c r="E6" s="3" t="n">
        <x:v>25.83</x:v>
      </x:c>
      <x:c r="F6" s="3" t="n">
        <x:v>19.1</x:v>
      </x:c>
      <x:c r="G6" s="1"/>
      <x:c r="H6" s="1"/>
      <x:c r="I6" s="1"/>
      <x:c r="J6" s="1"/>
    </x:row>
    <x:row r="7" ht="24" customHeight="1">
      <x:c r="B7" s="1" t="str">
        <x:v>5 Big Standard</x:v>
      </x:c>
      <x:c r="C7" s="1" t="str">
        <x:v>&gt;1500～7000</x:v>
      </x:c>
      <x:c r="D7" s="1" t="str">
        <x:v>2～30</x:v>
      </x:c>
      <x:c r="E7" s="3" t="n">
        <x:v>40.44</x:v>
      </x:c>
      <x:c r="F7" s="3" t="n">
        <x:v>28.1</x:v>
      </x:c>
      <x:c r="G7" s="1"/>
      <x:c r="H7" s="1"/>
      <x:c r="I7" s="1" t="str">
        <x:v>浅黄色为可修改输入</x:v>
      </x:c>
      <x:c r="J7" s="1"/>
    </x:row>
    <x:row r="8" ht="24" customHeight="1">
      <x:c r="B8" s="1" t="str">
        <x:v>6 Premium Big Economy</x:v>
      </x:c>
      <x:c r="C8" s="1" t="str">
        <x:v>&gt;7000～250000</x:v>
      </x:c>
      <x:c r="D8" s="1" t="str">
        <x:v>5～30</x:v>
      </x:c>
      <x:c r="E8" s="3" t="n">
        <x:v>69.64</x:v>
      </x:c>
      <x:c r="F8" s="3" t="n">
        <x:v>25.8</x:v>
      </x:c>
      <x:c r="G8" s="1"/>
      <x:c r="H8" s="1"/>
      <x:c r="I8" s="1"/>
      <x:c r="J8" s="1"/>
    </x:row>
    <x:row r="9" ht="24" customHeight="1">
      <x:c r="B9" s="1"/>
      <x:c r="C9" s="1"/>
      <x:c r="D9" s="1"/>
      <x:c r="E9" s="1"/>
      <x:c r="F9" s="1"/>
      <x:c r="G9" s="1"/>
      <x:c r="H9" s="1"/>
      <x:c r="I9" s="1"/>
      <x:c r="J9" s="1"/>
    </x:row>
    <x:row r="10" ht="24" customHeight="1">
      <x:c r="B10" s="6" t="str">
        <x:v>来源：俄通收RETS新品价格测算表2026.07.24执行，Sheet1 俄罗斯/莫斯科区段</x:v>
      </x:c>
      <x:c r="C10" s="6"/>
      <x:c r="D10" s="6"/>
      <x:c r="E10" s="6"/>
      <x:c r="F10" s="6"/>
      <x:c r="G10" s="6"/>
      <x:c r="H10" s="6"/>
      <x:c r="I10" s="6"/>
      <x:c r="J10" s="6"/>
    </x:row>
    <x:row r="11" ht="24" customHeight="1">
      <x:c r="B11" s="6" t="str">
        <x:v>费率与原测算公式已核对：G/M 第6、10、17、13、19、21行。Big 为标准线，其余采用经济线。</x:v>
      </x:c>
      <x:c r="C11" s="6"/>
      <x:c r="D11" s="6"/>
      <x:c r="E11" s="6"/>
      <x:c r="F11" s="6"/>
      <x:c r="G11" s="6"/>
      <x:c r="H11" s="6"/>
      <x:c r="I11" s="6"/>
      <x:c r="J11" s="6"/>
    </x:row>
    <x:row r="12" ht="24" customHeight="1">
      <x:c r="B12" s="6" t="str">
        <x:v>实际 kg 不进位；重叠端点先取尺寸合规的小件渠道。边界样例保留售价小数用于校验。</x:v>
      </x:c>
      <x:c r="C12" s="6"/>
      <x:c r="D12" s="6"/>
      <x:c r="E12" s="6"/>
      <x:c r="F12" s="6"/>
      <x:c r="G12" s="6"/>
      <x:c r="H12" s="6"/>
      <x:c r="I12" s="6"/>
      <x:c r="J12" s="6"/>
    </x:row>
    <x:row r="13" ht="24" customHeight="1">
      <x:c r="B13" s="1"/>
      <x:c r="C13" s="1"/>
      <x:c r="D13" s="1"/>
      <x:c r="E13" s="1"/>
      <x:c r="F13" s="1"/>
      <x:c r="G13" s="1"/>
      <x:c r="H13" s="1"/>
      <x:c r="I13" s="1"/>
      <x:c r="J13" s="1"/>
    </x:row>
    <x:row r="14" ht="38" customHeight="1">
      <x:c r="B14" s="15" t="str">
        <x:v>示例 / 可修改输入</x:v>
      </x:c>
      <x:c r="C14" s="15" t="str">
        <x:v>实重（kg）</x:v>
      </x:c>
      <x:c r="D14" s="15" t="str">
        <x:v>售价（CNY）</x:v>
      </x:c>
      <x:c r="E14" s="15" t="str">
        <x:v>长（cm）</x:v>
      </x:c>
      <x:c r="F14" s="15" t="str">
        <x:v>宽（cm）</x:v>
      </x:c>
      <x:c r="G14" s="15" t="str">
        <x:v>高（cm）</x:v>
      </x:c>
      <x:c r="H14" s="15" t="str">
        <x:v>货值（RUB）</x:v>
      </x:c>
      <x:c r="I14" s="15" t="str">
        <x:v>档位序号</x:v>
      </x:c>
      <x:c r="J14" s="15" t="str">
        <x:v>运费（CNY）</x:v>
      </x:c>
    </x:row>
    <x:row r="15" ht="24" customHeight="1">
      <x:c r="B15" s="1" t="str">
        <x:v>摄像包示例</x:v>
      </x:c>
      <x:c r="C15" s="8" t="n">
        <x:v>0.9</x:v>
      </x:c>
      <x:c r="D15" s="8" t="n">
        <x:v>130</x:v>
      </x:c>
      <x:c r="E15" s="9" t="n">
        <x:v>10</x:v>
      </x:c>
      <x:c r="F15" s="9" t="n">
        <x:v>20</x:v>
      </x:c>
      <x:c r="G15" s="9" t="n">
        <x:v>30</x:v>
      </x:c>
      <x:c r="H15" s="4" t="n">
        <x:f>IF(D15="","",IF(AND(ISNUMBER($J$2),$J$2&gt;0),ROUND(D15*$J$2,10),"汇率无效"))</x:f>
        <x:v>1560</x:v>
      </x:c>
      <x:c r="I15" s="10" t="n">
        <x:f>IF(OR(C15="",D15=""),"",IF(OR(NOT(ISNUMBER($J$2)),$J$2&lt;=0),"汇率无效",IF(OR(NOT(ISNUMBER(C15)),NOT(ISNUMBER(D15)),C15&lt;=0),"价格/重量无效",IF(COUNT(E15:G15)&lt;&gt;3,"请填写长宽高",IF(MIN(E15:G15)&lt;=0,"尺寸无效",_xlfn.IFS(AND(H15&gt;=1,H15&lt;=1500,ROUND(C15,12)&gt;0,ROUND(C15,12)&lt;=0.5,ROUND(SUM(E15:G15),10)&lt;=90,ROUND(MAX(E15:G15),10)&lt;=60),1,AND(H15&gt;1500,H15&lt;=7000,ROUND(C15,12)&gt;0,ROUND(C15,12)&lt;=2,ROUND(SUM(E15:G15),10)&lt;=150,ROUND(MAX(E15:G15),10)&lt;=60),2,AND(H15&gt;7000,H15&lt;=250000,ROUND(C15,12)&gt;0,ROUND(C15,12)&lt;=5,ROUND(SUM(E15:G15),10)&lt;=250,ROUND(MAX(E15:G15),10)&lt;=150),3,AND(H15&gt;=1,H15&lt;=1500,ROUND(C15,12)&gt;=0.5,ROUND(C15,12)&lt;=30,ROUND(SUM(E15:G15),10)&lt;=150,ROUND(MAX(E15:G15),10)&lt;=60),4,AND(H15&gt;1500,H15&lt;=7000,ROUND(C15,12)&gt;=2,ROUND(C15,12)&lt;=30,ROUND(SUM(E15:G15),10)&lt;=250,ROUND(MAX(E15:G15),10)&lt;=150),5,AND(H15&gt;7000,H15&lt;=250000,ROUND(C15,12)&gt;=5,ROUND(C15,12)&lt;=30,ROUND(SUM(E15:G15),10)&lt;=310,ROUND(MAX(E15:G15),10)&lt;=150),6,TRUE,"不符合运输标准"))))))</x:f>
        <x:v>2</x:v>
      </x:c>
      <x:c r="J15" s="3" t="n">
        <x:f>IF(ISNUMBER(I15),ROUND(INDEX($E$3:$E$8,I15)+ROUND(C15,12)*INDEX($F$3:$F$8,I15),2),I15)</x:f>
        <x:v>43.26</x:v>
      </x:c>
    </x:row>
    <x:row r="16" ht="24" customHeight="1">
      <x:c r="B16" s="1" t="str">
        <x:v>0.3kg</x:v>
      </x:c>
      <x:c r="C16" s="8" t="n">
        <x:v>0.3</x:v>
      </x:c>
      <x:c r="D16" s="8" t="n">
        <x:v>100</x:v>
      </x:c>
      <x:c r="E16" s="9" t="n">
        <x:v>10</x:v>
      </x:c>
      <x:c r="F16" s="9" t="n">
        <x:v>10</x:v>
      </x:c>
      <x:c r="G16" s="9" t="n">
        <x:v>10</x:v>
      </x:c>
      <x:c r="H16" s="4" t="n">
        <x:f>IF(D16="","",IF(AND(ISNUMBER($J$2),$J$2&gt;0),ROUND(D16*$J$2,10),"汇率无效"))</x:f>
        <x:v>1200</x:v>
      </x:c>
      <x:c r="I16" s="10" t="n">
        <x:f>IF(OR(C16="",D16=""),"",IF(OR(NOT(ISNUMBER($J$2)),$J$2&lt;=0),"汇率无效",IF(OR(NOT(ISNUMBER(C16)),NOT(ISNUMBER(D16)),C16&lt;=0),"价格/重量无效",IF(COUNT(E16:G16)&lt;&gt;3,"请填写长宽高",IF(MIN(E16:G16)&lt;=0,"尺寸无效",_xlfn.IFS(AND(H16&gt;=1,H16&lt;=1500,ROUND(C16,12)&gt;0,ROUND(C16,12)&lt;=0.5,ROUND(SUM(E16:G16),10)&lt;=90,ROUND(MAX(E16:G16),10)&lt;=60),1,AND(H16&gt;1500,H16&lt;=7000,ROUND(C16,12)&gt;0,ROUND(C16,12)&lt;=2,ROUND(SUM(E16:G16),10)&lt;=150,ROUND(MAX(E16:G16),10)&lt;=60),2,AND(H16&gt;7000,H16&lt;=250000,ROUND(C16,12)&gt;0,ROUND(C16,12)&lt;=5,ROUND(SUM(E16:G16),10)&lt;=250,ROUND(MAX(E16:G16),10)&lt;=150),3,AND(H16&gt;=1,H16&lt;=1500,ROUND(C16,12)&gt;=0.5,ROUND(C16,12)&lt;=30,ROUND(SUM(E16:G16),10)&lt;=150,ROUND(MAX(E16:G16),10)&lt;=60),4,AND(H16&gt;1500,H16&lt;=7000,ROUND(C16,12)&gt;=2,ROUND(C16,12)&lt;=30,ROUND(SUM(E16:G16),10)&lt;=250,ROUND(MAX(E16:G16),10)&lt;=150),5,AND(H16&gt;7000,H16&lt;=250000,ROUND(C16,12)&gt;=5,ROUND(C16,12)&lt;=30,ROUND(SUM(E16:G16),10)&lt;=310,ROUND(MAX(E16:G16),10)&lt;=150),6,TRUE,"不符合运输标准"))))))</x:f>
        <x:v>1</x:v>
      </x:c>
      <x:c r="J16" s="3" t="n">
        <x:f>IF(ISNUMBER(I16),ROUND(INDEX($E$3:$E$8,I16)+ROUND(C16,12)*INDEX($F$3:$F$8,I16),2),I16)</x:f>
        <x:v>11.8</x:v>
      </x:c>
    </x:row>
    <x:row r="17" ht="24" customHeight="1">
      <x:c r="B17" s="1" t="str">
        <x:v>0.301kg</x:v>
      </x:c>
      <x:c r="C17" s="8" t="n">
        <x:v>0.301</x:v>
      </x:c>
      <x:c r="D17" s="8" t="n">
        <x:v>100</x:v>
      </x:c>
      <x:c r="E17" s="9" t="n">
        <x:v>10</x:v>
      </x:c>
      <x:c r="F17" s="9" t="n">
        <x:v>10</x:v>
      </x:c>
      <x:c r="G17" s="9" t="n">
        <x:v>10</x:v>
      </x:c>
      <x:c r="H17" s="4" t="n">
        <x:f>IF(D17="","",IF(AND(ISNUMBER($J$2),$J$2&gt;0),ROUND(D17*$J$2,10),"汇率无效"))</x:f>
        <x:v>1200</x:v>
      </x:c>
      <x:c r="I17" s="10" t="n">
        <x:f>IF(OR(C17="",D17=""),"",IF(OR(NOT(ISNUMBER($J$2)),$J$2&lt;=0),"汇率无效",IF(OR(NOT(ISNUMBER(C17)),NOT(ISNUMBER(D17)),C17&lt;=0),"价格/重量无效",IF(COUNT(E17:G17)&lt;&gt;3,"请填写长宽高",IF(MIN(E17:G17)&lt;=0,"尺寸无效",_xlfn.IFS(AND(H17&gt;=1,H17&lt;=1500,ROUND(C17,12)&gt;0,ROUND(C17,12)&lt;=0.5,ROUND(SUM(E17:G17),10)&lt;=90,ROUND(MAX(E17:G17),10)&lt;=60),1,AND(H17&gt;1500,H17&lt;=7000,ROUND(C17,12)&gt;0,ROUND(C17,12)&lt;=2,ROUND(SUM(E17:G17),10)&lt;=150,ROUND(MAX(E17:G17),10)&lt;=60),2,AND(H17&gt;7000,H17&lt;=250000,ROUND(C17,12)&gt;0,ROUND(C17,12)&lt;=5,ROUND(SUM(E17:G17),10)&lt;=250,ROUND(MAX(E17:G17),10)&lt;=150),3,AND(H17&gt;=1,H17&lt;=1500,ROUND(C17,12)&gt;=0.5,ROUND(C17,12)&lt;=30,ROUND(SUM(E17:G17),10)&lt;=150,ROUND(MAX(E17:G17),10)&lt;=60),4,AND(H17&gt;1500,H17&lt;=7000,ROUND(C17,12)&gt;=2,ROUND(C17,12)&lt;=30,ROUND(SUM(E17:G17),10)&lt;=250,ROUND(MAX(E17:G17),10)&lt;=150),5,AND(H17&gt;7000,H17&lt;=250000,ROUND(C17,12)&gt;=5,ROUND(C17,12)&lt;=30,ROUND(SUM(E17:G17),10)&lt;=310,ROUND(MAX(E17:G17),10)&lt;=150),6,TRUE,"不符合运输标准"))))))</x:f>
        <x:v>1</x:v>
      </x:c>
      <x:c r="J17" s="3" t="n">
        <x:f>IF(ISNUMBER(I17),ROUND(INDEX($E$3:$E$8,I17)+ROUND(C17,12)*INDEX($F$3:$F$8,I17),2),I17)</x:f>
        <x:v>11.83</x:v>
      </x:c>
    </x:row>
    <x:row r="18" ht="24" customHeight="1">
      <x:c r="B18" s="1" t="str">
        <x:v>401g</x:v>
      </x:c>
      <x:c r="C18" s="8" t="n">
        <x:v>0.401</x:v>
      </x:c>
      <x:c r="D18" s="8" t="n">
        <x:v>100</x:v>
      </x:c>
      <x:c r="E18" s="9" t="n">
        <x:v>10</x:v>
      </x:c>
      <x:c r="F18" s="9" t="n">
        <x:v>10</x:v>
      </x:c>
      <x:c r="G18" s="9" t="n">
        <x:v>10</x:v>
      </x:c>
      <x:c r="H18" s="4" t="n">
        <x:f>IF(D18="","",IF(AND(ISNUMBER($J$2),$J$2&gt;0),ROUND(D18*$J$2,10),"汇率无效"))</x:f>
        <x:v>1200</x:v>
      </x:c>
      <x:c r="I18" s="10" t="n">
        <x:f>IF(OR(C18="",D18=""),"",IF(OR(NOT(ISNUMBER($J$2)),$J$2&lt;=0),"汇率无效",IF(OR(NOT(ISNUMBER(C18)),NOT(ISNUMBER(D18)),C18&lt;=0),"价格/重量无效",IF(COUNT(E18:G18)&lt;&gt;3,"请填写长宽高",IF(MIN(E18:G18)&lt;=0,"尺寸无效",_xlfn.IFS(AND(H18&gt;=1,H18&lt;=1500,ROUND(C18,12)&gt;0,ROUND(C18,12)&lt;=0.5,ROUND(SUM(E18:G18),10)&lt;=90,ROUND(MAX(E18:G18),10)&lt;=60),1,AND(H18&gt;1500,H18&lt;=7000,ROUND(C18,12)&gt;0,ROUND(C18,12)&lt;=2,ROUND(SUM(E18:G18),10)&lt;=150,ROUND(MAX(E18:G18),10)&lt;=60),2,AND(H18&gt;7000,H18&lt;=250000,ROUND(C18,12)&gt;0,ROUND(C18,12)&lt;=5,ROUND(SUM(E18:G18),10)&lt;=250,ROUND(MAX(E18:G18),10)&lt;=150),3,AND(H18&gt;=1,H18&lt;=1500,ROUND(C18,12)&gt;=0.5,ROUND(C18,12)&lt;=30,ROUND(SUM(E18:G18),10)&lt;=150,ROUND(MAX(E18:G18),10)&lt;=60),4,AND(H18&gt;1500,H18&lt;=7000,ROUND(C18,12)&gt;=2,ROUND(C18,12)&lt;=30,ROUND(SUM(E18:G18),10)&lt;=250,ROUND(MAX(E18:G18),10)&lt;=150),5,AND(H18&gt;7000,H18&lt;=250000,ROUND(C18,12)&gt;=5,ROUND(C18,12)&lt;=30,ROUND(SUM(E18:G18),10)&lt;=310,ROUND(MAX(E18:G18),10)&lt;=150),6,TRUE,"不符合运输标准"))))))</x:f>
        <x:v>1</x:v>
      </x:c>
      <x:c r="J18" s="3" t="n">
        <x:f>IF(ISNUMBER(I18),ROUND(INDEX($E$3:$E$8,I18)+ROUND(C18,12)*INDEX($F$3:$F$8,I18),2),I18)</x:f>
        <x:v>14.64</x:v>
      </x:c>
    </x:row>
    <x:row r="19" ht="24" customHeight="1">
      <x:c r="B19" s="1" t="str">
        <x:v>500g 含端点</x:v>
      </x:c>
      <x:c r="C19" s="8" t="n">
        <x:v>0.5</x:v>
      </x:c>
      <x:c r="D19" s="8" t="n">
        <x:v>100</x:v>
      </x:c>
      <x:c r="E19" s="9" t="n">
        <x:v>10</x:v>
      </x:c>
      <x:c r="F19" s="9" t="n">
        <x:v>10</x:v>
      </x:c>
      <x:c r="G19" s="9" t="n">
        <x:v>10</x:v>
      </x:c>
      <x:c r="H19" s="4" t="n">
        <x:f>IF(D19="","",IF(AND(ISNUMBER($J$2),$J$2&gt;0),ROUND(D19*$J$2,10),"汇率无效"))</x:f>
        <x:v>1200</x:v>
      </x:c>
      <x:c r="I19" s="10" t="n">
        <x:f>IF(OR(C19="",D19=""),"",IF(OR(NOT(ISNUMBER($J$2)),$J$2&lt;=0),"汇率无效",IF(OR(NOT(ISNUMBER(C19)),NOT(ISNUMBER(D19)),C19&lt;=0),"价格/重量无效",IF(COUNT(E19:G19)&lt;&gt;3,"请填写长宽高",IF(MIN(E19:G19)&lt;=0,"尺寸无效",_xlfn.IFS(AND(H19&gt;=1,H19&lt;=1500,ROUND(C19,12)&gt;0,ROUND(C19,12)&lt;=0.5,ROUND(SUM(E19:G19),10)&lt;=90,ROUND(MAX(E19:G19),10)&lt;=60),1,AND(H19&gt;1500,H19&lt;=7000,ROUND(C19,12)&gt;0,ROUND(C19,12)&lt;=2,ROUND(SUM(E19:G19),10)&lt;=150,ROUND(MAX(E19:G19),10)&lt;=60),2,AND(H19&gt;7000,H19&lt;=250000,ROUND(C19,12)&gt;0,ROUND(C19,12)&lt;=5,ROUND(SUM(E19:G19),10)&lt;=250,ROUND(MAX(E19:G19),10)&lt;=150),3,AND(H19&gt;=1,H19&lt;=1500,ROUND(C19,12)&gt;=0.5,ROUND(C19,12)&lt;=30,ROUND(SUM(E19:G19),10)&lt;=150,ROUND(MAX(E19:G19),10)&lt;=60),4,AND(H19&gt;1500,H19&lt;=7000,ROUND(C19,12)&gt;=2,ROUND(C19,12)&lt;=30,ROUND(SUM(E19:G19),10)&lt;=250,ROUND(MAX(E19:G19),10)&lt;=150),5,AND(H19&gt;7000,H19&lt;=250000,ROUND(C19,12)&gt;=5,ROUND(C19,12)&lt;=30,ROUND(SUM(E19:G19),10)&lt;=310,ROUND(MAX(E19:G19),10)&lt;=150),6,TRUE,"不符合运输标准"))))))</x:f>
        <x:v>1</x:v>
      </x:c>
      <x:c r="J19" s="3" t="n">
        <x:f>IF(ISNUMBER(I19),ROUND(INDEX($E$3:$E$8,I19)+ROUND(C19,12)*INDEX($F$3:$F$8,I19),2),I19)</x:f>
        <x:v>17.42</x:v>
      </x:c>
    </x:row>
    <x:row r="20" ht="24" customHeight="1">
      <x:c r="B20" s="1" t="str">
        <x:v>500.01g 跨真实门槛</x:v>
      </x:c>
      <x:c r="C20" s="8" t="n">
        <x:v>0.50001</x:v>
      </x:c>
      <x:c r="D20" s="8" t="n">
        <x:v>100</x:v>
      </x:c>
      <x:c r="E20" s="9" t="n">
        <x:v>10</x:v>
      </x:c>
      <x:c r="F20" s="9" t="n">
        <x:v>10</x:v>
      </x:c>
      <x:c r="G20" s="9" t="n">
        <x:v>10</x:v>
      </x:c>
      <x:c r="H20" s="4" t="n">
        <x:f>IF(D20="","",IF(AND(ISNUMBER($J$2),$J$2&gt;0),ROUND(D20*$J$2,10),"汇率无效"))</x:f>
        <x:v>1200</x:v>
      </x:c>
      <x:c r="I20" s="10" t="n">
        <x:f>IF(OR(C20="",D20=""),"",IF(OR(NOT(ISNUMBER($J$2)),$J$2&lt;=0),"汇率无效",IF(OR(NOT(ISNUMBER(C20)),NOT(ISNUMBER(D20)),C20&lt;=0),"价格/重量无效",IF(COUNT(E20:G20)&lt;&gt;3,"请填写长宽高",IF(MIN(E20:G20)&lt;=0,"尺寸无效",_xlfn.IFS(AND(H20&gt;=1,H20&lt;=1500,ROUND(C20,12)&gt;0,ROUND(C20,12)&lt;=0.5,ROUND(SUM(E20:G20),10)&lt;=90,ROUND(MAX(E20:G20),10)&lt;=60),1,AND(H20&gt;1500,H20&lt;=7000,ROUND(C20,12)&gt;0,ROUND(C20,12)&lt;=2,ROUND(SUM(E20:G20),10)&lt;=150,ROUND(MAX(E20:G20),10)&lt;=60),2,AND(H20&gt;7000,H20&lt;=250000,ROUND(C20,12)&gt;0,ROUND(C20,12)&lt;=5,ROUND(SUM(E20:G20),10)&lt;=250,ROUND(MAX(E20:G20),10)&lt;=150),3,AND(H20&gt;=1,H20&lt;=1500,ROUND(C20,12)&gt;=0.5,ROUND(C20,12)&lt;=30,ROUND(SUM(E20:G20),10)&lt;=150,ROUND(MAX(E20:G20),10)&lt;=60),4,AND(H20&gt;1500,H20&lt;=7000,ROUND(C20,12)&gt;=2,ROUND(C20,12)&lt;=30,ROUND(SUM(E20:G20),10)&lt;=250,ROUND(MAX(E20:G20),10)&lt;=150),5,AND(H20&gt;7000,H20&lt;=250000,ROUND(C20,12)&gt;=5,ROUND(C20,12)&lt;=30,ROUND(SUM(E20:G20),10)&lt;=310,ROUND(MAX(E20:G20),10)&lt;=150),6,TRUE,"不符合运输标准"))))))</x:f>
        <x:v>4</x:v>
      </x:c>
      <x:c r="J20" s="3" t="n">
        <x:f>IF(ISNUMBER(I20),ROUND(INDEX($E$3:$E$8,I20)+ROUND(C20,12)*INDEX($F$3:$F$8,I20),2),I20)</x:f>
        <x:v>35.38</x:v>
      </x:c>
    </x:row>
    <x:row r="21" ht="24" customHeight="1">
      <x:c r="B21" s="1" t="str">
        <x:v>1500 RUB 含端点</x:v>
      </x:c>
      <x:c r="C21" s="8" t="n">
        <x:v>0.4</x:v>
      </x:c>
      <x:c r="D21" s="8" t="n">
        <x:v>125</x:v>
      </x:c>
      <x:c r="E21" s="9" t="n">
        <x:v>10</x:v>
      </x:c>
      <x:c r="F21" s="9" t="n">
        <x:v>10</x:v>
      </x:c>
      <x:c r="G21" s="9" t="n">
        <x:v>10</x:v>
      </x:c>
      <x:c r="H21" s="4" t="n">
        <x:f>IF(D21="","",IF(AND(ISNUMBER($J$2),$J$2&gt;0),ROUND(D21*$J$2,10),"汇率无效"))</x:f>
        <x:v>1500</x:v>
      </x:c>
      <x:c r="I21" s="10" t="n">
        <x:f>IF(OR(C21="",D21=""),"",IF(OR(NOT(ISNUMBER($J$2)),$J$2&lt;=0),"汇率无效",IF(OR(NOT(ISNUMBER(C21)),NOT(ISNUMBER(D21)),C21&lt;=0),"价格/重量无效",IF(COUNT(E21:G21)&lt;&gt;3,"请填写长宽高",IF(MIN(E21:G21)&lt;=0,"尺寸无效",_xlfn.IFS(AND(H21&gt;=1,H21&lt;=1500,ROUND(C21,12)&gt;0,ROUND(C21,12)&lt;=0.5,ROUND(SUM(E21:G21),10)&lt;=90,ROUND(MAX(E21:G21),10)&lt;=60),1,AND(H21&gt;1500,H21&lt;=7000,ROUND(C21,12)&gt;0,ROUND(C21,12)&lt;=2,ROUND(SUM(E21:G21),10)&lt;=150,ROUND(MAX(E21:G21),10)&lt;=60),2,AND(H21&gt;7000,H21&lt;=250000,ROUND(C21,12)&gt;0,ROUND(C21,12)&lt;=5,ROUND(SUM(E21:G21),10)&lt;=250,ROUND(MAX(E21:G21),10)&lt;=150),3,AND(H21&gt;=1,H21&lt;=1500,ROUND(C21,12)&gt;=0.5,ROUND(C21,12)&lt;=30,ROUND(SUM(E21:G21),10)&lt;=150,ROUND(MAX(E21:G21),10)&lt;=60),4,AND(H21&gt;1500,H21&lt;=7000,ROUND(C21,12)&gt;=2,ROUND(C21,12)&lt;=30,ROUND(SUM(E21:G21),10)&lt;=250,ROUND(MAX(E21:G21),10)&lt;=150),5,AND(H21&gt;7000,H21&lt;=250000,ROUND(C21,12)&gt;=5,ROUND(C21,12)&lt;=30,ROUND(SUM(E21:G21),10)&lt;=310,ROUND(MAX(E21:G21),10)&lt;=150),6,TRUE,"不符合运输标准"))))))</x:f>
        <x:v>1</x:v>
      </x:c>
      <x:c r="J21" s="3" t="n">
        <x:f>IF(ISNUMBER(I21),ROUND(INDEX($E$3:$E$8,I21)+ROUND(C21,12)*INDEX($F$3:$F$8,I21),2),I21)</x:f>
        <x:v>14.61</x:v>
      </x:c>
    </x:row>
    <x:row r="22" ht="24" customHeight="1">
      <x:c r="B22" s="1" t="str">
        <x:v>1500.01 RUB</x:v>
      </x:c>
      <x:c r="C22" s="8" t="n">
        <x:v>0.4</x:v>
      </x:c>
      <x:c r="D22" s="8" t="n">
        <x:v>125.00083333333333</x:v>
      </x:c>
      <x:c r="E22" s="9" t="n">
        <x:v>10</x:v>
      </x:c>
      <x:c r="F22" s="9" t="n">
        <x:v>10</x:v>
      </x:c>
      <x:c r="G22" s="9" t="n">
        <x:v>10</x:v>
      </x:c>
      <x:c r="H22" s="4" t="n">
        <x:f>IF(D22="","",IF(AND(ISNUMBER($J$2),$J$2&gt;0),ROUND(D22*$J$2,10),"汇率无效"))</x:f>
        <x:v>1500.01</x:v>
      </x:c>
      <x:c r="I22" s="10" t="n">
        <x:f>IF(OR(C22="",D22=""),"",IF(OR(NOT(ISNUMBER($J$2)),$J$2&lt;=0),"汇率无效",IF(OR(NOT(ISNUMBER(C22)),NOT(ISNUMBER(D22)),C22&lt;=0),"价格/重量无效",IF(COUNT(E22:G22)&lt;&gt;3,"请填写长宽高",IF(MIN(E22:G22)&lt;=0,"尺寸无效",_xlfn.IFS(AND(H22&gt;=1,H22&lt;=1500,ROUND(C22,12)&gt;0,ROUND(C22,12)&lt;=0.5,ROUND(SUM(E22:G22),10)&lt;=90,ROUND(MAX(E22:G22),10)&lt;=60),1,AND(H22&gt;1500,H22&lt;=7000,ROUND(C22,12)&gt;0,ROUND(C22,12)&lt;=2,ROUND(SUM(E22:G22),10)&lt;=150,ROUND(MAX(E22:G22),10)&lt;=60),2,AND(H22&gt;7000,H22&lt;=250000,ROUND(C22,12)&gt;0,ROUND(C22,12)&lt;=5,ROUND(SUM(E22:G22),10)&lt;=250,ROUND(MAX(E22:G22),10)&lt;=150),3,AND(H22&gt;=1,H22&lt;=1500,ROUND(C22,12)&gt;=0.5,ROUND(C22,12)&lt;=30,ROUND(SUM(E22:G22),10)&lt;=150,ROUND(MAX(E22:G22),10)&lt;=60),4,AND(H22&gt;1500,H22&lt;=7000,ROUND(C22,12)&gt;=2,ROUND(C22,12)&lt;=30,ROUND(SUM(E22:G22),10)&lt;=250,ROUND(MAX(E22:G22),10)&lt;=150),5,AND(H22&gt;7000,H22&lt;=250000,ROUND(C22,12)&gt;=5,ROUND(C22,12)&lt;=30,ROUND(SUM(E22:G22),10)&lt;=310,ROUND(MAX(E22:G22),10)&lt;=150),6,TRUE,"不符合运输标准"))))))</x:f>
        <x:v>2</x:v>
      </x:c>
      <x:c r="J22" s="3" t="n">
        <x:f>IF(ISNUMBER(I22),ROUND(INDEX($E$3:$E$8,I22)+ROUND(C22,12)*INDEX($F$3:$F$8,I22),2),I22)</x:f>
        <x:v>29.21</x:v>
      </x:c>
    </x:row>
    <x:row r="23" ht="24" customHeight="1">
      <x:c r="B23" s="1" t="str">
        <x:v>7000 RUB 含端点</x:v>
      </x:c>
      <x:c r="C23" s="8" t="n">
        <x:v>1</x:v>
      </x:c>
      <x:c r="D23" s="8" t="n">
        <x:v>583.3333333333334</x:v>
      </x:c>
      <x:c r="E23" s="9" t="n">
        <x:v>10</x:v>
      </x:c>
      <x:c r="F23" s="9" t="n">
        <x:v>10</x:v>
      </x:c>
      <x:c r="G23" s="9" t="n">
        <x:v>10</x:v>
      </x:c>
      <x:c r="H23" s="4" t="n">
        <x:f>IF(D23="","",IF(AND(ISNUMBER($J$2),$J$2&gt;0),ROUND(D23*$J$2,10),"汇率无效"))</x:f>
        <x:v>7000</x:v>
      </x:c>
      <x:c r="I23" s="10" t="n">
        <x:f>IF(OR(C23="",D23=""),"",IF(OR(NOT(ISNUMBER($J$2)),$J$2&lt;=0),"汇率无效",IF(OR(NOT(ISNUMBER(C23)),NOT(ISNUMBER(D23)),C23&lt;=0),"价格/重量无效",IF(COUNT(E23:G23)&lt;&gt;3,"请填写长宽高",IF(MIN(E23:G23)&lt;=0,"尺寸无效",_xlfn.IFS(AND(H23&gt;=1,H23&lt;=1500,ROUND(C23,12)&gt;0,ROUND(C23,12)&lt;=0.5,ROUND(SUM(E23:G23),10)&lt;=90,ROUND(MAX(E23:G23),10)&lt;=60),1,AND(H23&gt;1500,H23&lt;=7000,ROUND(C23,12)&gt;0,ROUND(C23,12)&lt;=2,ROUND(SUM(E23:G23),10)&lt;=150,ROUND(MAX(E23:G23),10)&lt;=60),2,AND(H23&gt;7000,H23&lt;=250000,ROUND(C23,12)&gt;0,ROUND(C23,12)&lt;=5,ROUND(SUM(E23:G23),10)&lt;=250,ROUND(MAX(E23:G23),10)&lt;=150),3,AND(H23&gt;=1,H23&lt;=1500,ROUND(C23,12)&gt;=0.5,ROUND(C23,12)&lt;=30,ROUND(SUM(E23:G23),10)&lt;=150,ROUND(MAX(E23:G23),10)&lt;=60),4,AND(H23&gt;1500,H23&lt;=7000,ROUND(C23,12)&gt;=2,ROUND(C23,12)&lt;=30,ROUND(SUM(E23:G23),10)&lt;=250,ROUND(MAX(E23:G23),10)&lt;=150),5,AND(H23&gt;7000,H23&lt;=250000,ROUND(C23,12)&gt;=5,ROUND(C23,12)&lt;=30,ROUND(SUM(E23:G23),10)&lt;=310,ROUND(MAX(E23:G23),10)&lt;=150),6,TRUE,"不符合运输标准"))))))</x:f>
        <x:v>2</x:v>
      </x:c>
      <x:c r="J23" s="3" t="n">
        <x:f>IF(ISNUMBER(I23),ROUND(INDEX($E$3:$E$8,I23)+ROUND(C23,12)*INDEX($F$3:$F$8,I23),2),I23)</x:f>
        <x:v>46.07</x:v>
      </x:c>
    </x:row>
    <x:row r="24" ht="24" customHeight="1">
      <x:c r="B24" s="1" t="str">
        <x:v>7000.01 RUB</x:v>
      </x:c>
      <x:c r="C24" s="8" t="n">
        <x:v>1</x:v>
      </x:c>
      <x:c r="D24" s="8" t="n">
        <x:v>583.3341666666666</x:v>
      </x:c>
      <x:c r="E24" s="9" t="n">
        <x:v>10</x:v>
      </x:c>
      <x:c r="F24" s="9" t="n">
        <x:v>10</x:v>
      </x:c>
      <x:c r="G24" s="9" t="n">
        <x:v>10</x:v>
      </x:c>
      <x:c r="H24" s="4" t="n">
        <x:f>IF(D24="","",IF(AND(ISNUMBER($J$2),$J$2&gt;0),ROUND(D24*$J$2,10),"汇率无效"))</x:f>
        <x:v>7000.01</x:v>
      </x:c>
      <x:c r="I24" s="10" t="n">
        <x:f>IF(OR(C24="",D24=""),"",IF(OR(NOT(ISNUMBER($J$2)),$J$2&lt;=0),"汇率无效",IF(OR(NOT(ISNUMBER(C24)),NOT(ISNUMBER(D24)),C24&lt;=0),"价格/重量无效",IF(COUNT(E24:G24)&lt;&gt;3,"请填写长宽高",IF(MIN(E24:G24)&lt;=0,"尺寸无效",_xlfn.IFS(AND(H24&gt;=1,H24&lt;=1500,ROUND(C24,12)&gt;0,ROUND(C24,12)&lt;=0.5,ROUND(SUM(E24:G24),10)&lt;=90,ROUND(MAX(E24:G24),10)&lt;=60),1,AND(H24&gt;1500,H24&lt;=7000,ROUND(C24,12)&gt;0,ROUND(C24,12)&lt;=2,ROUND(SUM(E24:G24),10)&lt;=150,ROUND(MAX(E24:G24),10)&lt;=60),2,AND(H24&gt;7000,H24&lt;=250000,ROUND(C24,12)&gt;0,ROUND(C24,12)&lt;=5,ROUND(SUM(E24:G24),10)&lt;=250,ROUND(MAX(E24:G24),10)&lt;=150),3,AND(H24&gt;=1,H24&lt;=1500,ROUND(C24,12)&gt;=0.5,ROUND(C24,12)&lt;=30,ROUND(SUM(E24:G24),10)&lt;=150,ROUND(MAX(E24:G24),10)&lt;=60),4,AND(H24&gt;1500,H24&lt;=7000,ROUND(C24,12)&gt;=2,ROUND(C24,12)&lt;=30,ROUND(SUM(E24:G24),10)&lt;=250,ROUND(MAX(E24:G24),10)&lt;=150),5,AND(H24&gt;7000,H24&lt;=250000,ROUND(C24,12)&gt;=5,ROUND(C24,12)&lt;=30,ROUND(SUM(E24:G24),10)&lt;=310,ROUND(MAX(E24:G24),10)&lt;=150),6,TRUE,"不符合运输标准"))))))</x:f>
        <x:v>3</x:v>
      </x:c>
      <x:c r="J24" s="3" t="n">
        <x:f>IF(ISNUMBER(I24),ROUND(INDEX($E$3:$E$8,I24)+ROUND(C24,12)*INDEX($F$3:$F$8,I24),2),I24)</x:f>
        <x:v>52.81</x:v>
      </x:c>
    </x:row>
    <x:row r="25" ht="24" customHeight="1">
      <x:c r="B25" s="1" t="str">
        <x:v>2kg 含端点</x:v>
      </x:c>
      <x:c r="C25" s="8" t="n">
        <x:v>2</x:v>
      </x:c>
      <x:c r="D25" s="8" t="n">
        <x:v>200</x:v>
      </x:c>
      <x:c r="E25" s="9" t="n">
        <x:v>10</x:v>
      </x:c>
      <x:c r="F25" s="9" t="n">
        <x:v>10</x:v>
      </x:c>
      <x:c r="G25" s="9" t="n">
        <x:v>10</x:v>
      </x:c>
      <x:c r="H25" s="4" t="n">
        <x:f>IF(D25="","",IF(AND(ISNUMBER($J$2),$J$2&gt;0),ROUND(D25*$J$2,10),"汇率无效"))</x:f>
        <x:v>2400</x:v>
      </x:c>
      <x:c r="I25" s="10" t="n">
        <x:f>IF(OR(C25="",D25=""),"",IF(OR(NOT(ISNUMBER($J$2)),$J$2&lt;=0),"汇率无效",IF(OR(NOT(ISNUMBER(C25)),NOT(ISNUMBER(D25)),C25&lt;=0),"价格/重量无效",IF(COUNT(E25:G25)&lt;&gt;3,"请填写长宽高",IF(MIN(E25:G25)&lt;=0,"尺寸无效",_xlfn.IFS(AND(H25&gt;=1,H25&lt;=1500,ROUND(C25,12)&gt;0,ROUND(C25,12)&lt;=0.5,ROUND(SUM(E25:G25),10)&lt;=90,ROUND(MAX(E25:G25),10)&lt;=60),1,AND(H25&gt;1500,H25&lt;=7000,ROUND(C25,12)&gt;0,ROUND(C25,12)&lt;=2,ROUND(SUM(E25:G25),10)&lt;=150,ROUND(MAX(E25:G25),10)&lt;=60),2,AND(H25&gt;7000,H25&lt;=250000,ROUND(C25,12)&gt;0,ROUND(C25,12)&lt;=5,ROUND(SUM(E25:G25),10)&lt;=250,ROUND(MAX(E25:G25),10)&lt;=150),3,AND(H25&gt;=1,H25&lt;=1500,ROUND(C25,12)&gt;=0.5,ROUND(C25,12)&lt;=30,ROUND(SUM(E25:G25),10)&lt;=150,ROUND(MAX(E25:G25),10)&lt;=60),4,AND(H25&gt;1500,H25&lt;=7000,ROUND(C25,12)&gt;=2,ROUND(C25,12)&lt;=30,ROUND(SUM(E25:G25),10)&lt;=250,ROUND(MAX(E25:G25),10)&lt;=150),5,AND(H25&gt;7000,H25&lt;=250000,ROUND(C25,12)&gt;=5,ROUND(C25,12)&lt;=30,ROUND(SUM(E25:G25),10)&lt;=310,ROUND(MAX(E25:G25),10)&lt;=150),6,TRUE,"不符合运输标准"))))))</x:f>
        <x:v>2</x:v>
      </x:c>
      <x:c r="J25" s="3" t="n">
        <x:f>IF(ISNUMBER(I25),ROUND(INDEX($E$3:$E$8,I25)+ROUND(C25,12)*INDEX($F$3:$F$8,I25),2),I25)</x:f>
        <x:v>74.17</x:v>
      </x:c>
    </x:row>
    <x:row r="26" ht="24" customHeight="1">
      <x:c r="B26" s="1" t="str">
        <x:v>2.00001kg</x:v>
      </x:c>
      <x:c r="C26" s="8" t="n">
        <x:v>2.00001</x:v>
      </x:c>
      <x:c r="D26" s="8" t="n">
        <x:v>200</x:v>
      </x:c>
      <x:c r="E26" s="9" t="n">
        <x:v>10</x:v>
      </x:c>
      <x:c r="F26" s="9" t="n">
        <x:v>10</x:v>
      </x:c>
      <x:c r="G26" s="9" t="n">
        <x:v>10</x:v>
      </x:c>
      <x:c r="H26" s="4" t="n">
        <x:f>IF(D26="","",IF(AND(ISNUMBER($J$2),$J$2&gt;0),ROUND(D26*$J$2,10),"汇率无效"))</x:f>
        <x:v>2400</x:v>
      </x:c>
      <x:c r="I26" s="10" t="n">
        <x:f>IF(OR(C26="",D26=""),"",IF(OR(NOT(ISNUMBER($J$2)),$J$2&lt;=0),"汇率无效",IF(OR(NOT(ISNUMBER(C26)),NOT(ISNUMBER(D26)),C26&lt;=0),"价格/重量无效",IF(COUNT(E26:G26)&lt;&gt;3,"请填写长宽高",IF(MIN(E26:G26)&lt;=0,"尺寸无效",_xlfn.IFS(AND(H26&gt;=1,H26&lt;=1500,ROUND(C26,12)&gt;0,ROUND(C26,12)&lt;=0.5,ROUND(SUM(E26:G26),10)&lt;=90,ROUND(MAX(E26:G26),10)&lt;=60),1,AND(H26&gt;1500,H26&lt;=7000,ROUND(C26,12)&gt;0,ROUND(C26,12)&lt;=2,ROUND(SUM(E26:G26),10)&lt;=150,ROUND(MAX(E26:G26),10)&lt;=60),2,AND(H26&gt;7000,H26&lt;=250000,ROUND(C26,12)&gt;0,ROUND(C26,12)&lt;=5,ROUND(SUM(E26:G26),10)&lt;=250,ROUND(MAX(E26:G26),10)&lt;=150),3,AND(H26&gt;=1,H26&lt;=1500,ROUND(C26,12)&gt;=0.5,ROUND(C26,12)&lt;=30,ROUND(SUM(E26:G26),10)&lt;=150,ROUND(MAX(E26:G26),10)&lt;=60),4,AND(H26&gt;1500,H26&lt;=7000,ROUND(C26,12)&gt;=2,ROUND(C26,12)&lt;=30,ROUND(SUM(E26:G26),10)&lt;=250,ROUND(MAX(E26:G26),10)&lt;=150),5,AND(H26&gt;7000,H26&lt;=250000,ROUND(C26,12)&gt;=5,ROUND(C26,12)&lt;=30,ROUND(SUM(E26:G26),10)&lt;=310,ROUND(MAX(E26:G26),10)&lt;=150),6,TRUE,"不符合运输标准"))))))</x:f>
        <x:v>5</x:v>
      </x:c>
      <x:c r="J26" s="3" t="n">
        <x:f>IF(ISNUMBER(I26),ROUND(INDEX($E$3:$E$8,I26)+ROUND(C26,12)*INDEX($F$3:$F$8,I26),2),I26)</x:f>
        <x:v>96.64</x:v>
      </x:c>
    </x:row>
    <x:row r="27" ht="24" customHeight="1">
      <x:c r="B27" s="1" t="str">
        <x:v>5kg 含端点</x:v>
      </x:c>
      <x:c r="C27" s="8" t="n">
        <x:v>5</x:v>
      </x:c>
      <x:c r="D27" s="8" t="n">
        <x:v>666.6666666666666</x:v>
      </x:c>
      <x:c r="E27" s="9" t="n">
        <x:v>10</x:v>
      </x:c>
      <x:c r="F27" s="9" t="n">
        <x:v>10</x:v>
      </x:c>
      <x:c r="G27" s="9" t="n">
        <x:v>10</x:v>
      </x:c>
      <x:c r="H27" s="4" t="n">
        <x:f>IF(D27="","",IF(AND(ISNUMBER($J$2),$J$2&gt;0),ROUND(D27*$J$2,10),"汇率无效"))</x:f>
        <x:v>8000</x:v>
      </x:c>
      <x:c r="I27" s="10" t="n">
        <x:f>IF(OR(C27="",D27=""),"",IF(OR(NOT(ISNUMBER($J$2)),$J$2&lt;=0),"汇率无效",IF(OR(NOT(ISNUMBER(C27)),NOT(ISNUMBER(D27)),C27&lt;=0),"价格/重量无效",IF(COUNT(E27:G27)&lt;&gt;3,"请填写长宽高",IF(MIN(E27:G27)&lt;=0,"尺寸无效",_xlfn.IFS(AND(H27&gt;=1,H27&lt;=1500,ROUND(C27,12)&gt;0,ROUND(C27,12)&lt;=0.5,ROUND(SUM(E27:G27),10)&lt;=90,ROUND(MAX(E27:G27),10)&lt;=60),1,AND(H27&gt;1500,H27&lt;=7000,ROUND(C27,12)&gt;0,ROUND(C27,12)&lt;=2,ROUND(SUM(E27:G27),10)&lt;=150,ROUND(MAX(E27:G27),10)&lt;=60),2,AND(H27&gt;7000,H27&lt;=250000,ROUND(C27,12)&gt;0,ROUND(C27,12)&lt;=5,ROUND(SUM(E27:G27),10)&lt;=250,ROUND(MAX(E27:G27),10)&lt;=150),3,AND(H27&gt;=1,H27&lt;=1500,ROUND(C27,12)&gt;=0.5,ROUND(C27,12)&lt;=30,ROUND(SUM(E27:G27),10)&lt;=150,ROUND(MAX(E27:G27),10)&lt;=60),4,AND(H27&gt;1500,H27&lt;=7000,ROUND(C27,12)&gt;=2,ROUND(C27,12)&lt;=30,ROUND(SUM(E27:G27),10)&lt;=250,ROUND(MAX(E27:G27),10)&lt;=150),5,AND(H27&gt;7000,H27&lt;=250000,ROUND(C27,12)&gt;=5,ROUND(C27,12)&lt;=30,ROUND(SUM(E27:G27),10)&lt;=310,ROUND(MAX(E27:G27),10)&lt;=150),6,TRUE,"不符合运输标准"))))))</x:f>
        <x:v>3</x:v>
      </x:c>
      <x:c r="J27" s="3" t="n">
        <x:f>IF(ISNUMBER(I27),ROUND(INDEX($E$3:$E$8,I27)+ROUND(C27,12)*INDEX($F$3:$F$8,I27),2),I27)</x:f>
        <x:v>165.21</x:v>
      </x:c>
    </x:row>
    <x:row r="28" ht="24" customHeight="1">
      <x:c r="B28" s="1" t="str">
        <x:v>5.00001kg</x:v>
      </x:c>
      <x:c r="C28" s="8" t="n">
        <x:v>5.00001</x:v>
      </x:c>
      <x:c r="D28" s="8" t="n">
        <x:v>666.6666666666666</x:v>
      </x:c>
      <x:c r="E28" s="9" t="n">
        <x:v>10</x:v>
      </x:c>
      <x:c r="F28" s="9" t="n">
        <x:v>10</x:v>
      </x:c>
      <x:c r="G28" s="9" t="n">
        <x:v>10</x:v>
      </x:c>
      <x:c r="H28" s="4" t="n">
        <x:f>IF(D28="","",IF(AND(ISNUMBER($J$2),$J$2&gt;0),ROUND(D28*$J$2,10),"汇率无效"))</x:f>
        <x:v>8000</x:v>
      </x:c>
      <x:c r="I28" s="10" t="n">
        <x:f>IF(OR(C28="",D28=""),"",IF(OR(NOT(ISNUMBER($J$2)),$J$2&lt;=0),"汇率无效",IF(OR(NOT(ISNUMBER(C28)),NOT(ISNUMBER(D28)),C28&lt;=0),"价格/重量无效",IF(COUNT(E28:G28)&lt;&gt;3,"请填写长宽高",IF(MIN(E28:G28)&lt;=0,"尺寸无效",_xlfn.IFS(AND(H28&gt;=1,H28&lt;=1500,ROUND(C28,12)&gt;0,ROUND(C28,12)&lt;=0.5,ROUND(SUM(E28:G28),10)&lt;=90,ROUND(MAX(E28:G28),10)&lt;=60),1,AND(H28&gt;1500,H28&lt;=7000,ROUND(C28,12)&gt;0,ROUND(C28,12)&lt;=2,ROUND(SUM(E28:G28),10)&lt;=150,ROUND(MAX(E28:G28),10)&lt;=60),2,AND(H28&gt;7000,H28&lt;=250000,ROUND(C28,12)&gt;0,ROUND(C28,12)&lt;=5,ROUND(SUM(E28:G28),10)&lt;=250,ROUND(MAX(E28:G28),10)&lt;=150),3,AND(H28&gt;=1,H28&lt;=1500,ROUND(C28,12)&gt;=0.5,ROUND(C28,12)&lt;=30,ROUND(SUM(E28:G28),10)&lt;=150,ROUND(MAX(E28:G28),10)&lt;=60),4,AND(H28&gt;1500,H28&lt;=7000,ROUND(C28,12)&gt;=2,ROUND(C28,12)&lt;=30,ROUND(SUM(E28:G28),10)&lt;=250,ROUND(MAX(E28:G28),10)&lt;=150),5,AND(H28&gt;7000,H28&lt;=250000,ROUND(C28,12)&gt;=5,ROUND(C28,12)&lt;=30,ROUND(SUM(E28:G28),10)&lt;=310,ROUND(MAX(E28:G28),10)&lt;=150),6,TRUE,"不符合运输标准"))))))</x:f>
        <x:v>6</x:v>
      </x:c>
      <x:c r="J28" s="3" t="n">
        <x:f>IF(ISNUMBER(I28),ROUND(INDEX($E$3:$E$8,I28)+ROUND(C28,12)*INDEX($F$3:$F$8,I28),2),I28)</x:f>
        <x:v>198.64</x:v>
      </x:c>
    </x:row>
    <x:row r="29" ht="24" customHeight="1">
      <x:c r="B29" s="1" t="str">
        <x:v>30kg 含端点</x:v>
      </x:c>
      <x:c r="C29" s="8" t="n">
        <x:v>30</x:v>
      </x:c>
      <x:c r="D29" s="8" t="n">
        <x:v>100</x:v>
      </x:c>
      <x:c r="E29" s="9" t="n">
        <x:v>10</x:v>
      </x:c>
      <x:c r="F29" s="9" t="n">
        <x:v>10</x:v>
      </x:c>
      <x:c r="G29" s="9" t="n">
        <x:v>10</x:v>
      </x:c>
      <x:c r="H29" s="4" t="n">
        <x:f>IF(D29="","",IF(AND(ISNUMBER($J$2),$J$2&gt;0),ROUND(D29*$J$2,10),"汇率无效"))</x:f>
        <x:v>1200</x:v>
      </x:c>
      <x:c r="I29" s="10" t="n">
        <x:f>IF(OR(C29="",D29=""),"",IF(OR(NOT(ISNUMBER($J$2)),$J$2&lt;=0),"汇率无效",IF(OR(NOT(ISNUMBER(C29)),NOT(ISNUMBER(D29)),C29&lt;=0),"价格/重量无效",IF(COUNT(E29:G29)&lt;&gt;3,"请填写长宽高",IF(MIN(E29:G29)&lt;=0,"尺寸无效",_xlfn.IFS(AND(H29&gt;=1,H29&lt;=1500,ROUND(C29,12)&gt;0,ROUND(C29,12)&lt;=0.5,ROUND(SUM(E29:G29),10)&lt;=90,ROUND(MAX(E29:G29),10)&lt;=60),1,AND(H29&gt;1500,H29&lt;=7000,ROUND(C29,12)&gt;0,ROUND(C29,12)&lt;=2,ROUND(SUM(E29:G29),10)&lt;=150,ROUND(MAX(E29:G29),10)&lt;=60),2,AND(H29&gt;7000,H29&lt;=250000,ROUND(C29,12)&gt;0,ROUND(C29,12)&lt;=5,ROUND(SUM(E29:G29),10)&lt;=250,ROUND(MAX(E29:G29),10)&lt;=150),3,AND(H29&gt;=1,H29&lt;=1500,ROUND(C29,12)&gt;=0.5,ROUND(C29,12)&lt;=30,ROUND(SUM(E29:G29),10)&lt;=150,ROUND(MAX(E29:G29),10)&lt;=60),4,AND(H29&gt;1500,H29&lt;=7000,ROUND(C29,12)&gt;=2,ROUND(C29,12)&lt;=30,ROUND(SUM(E29:G29),10)&lt;=250,ROUND(MAX(E29:G29),10)&lt;=150),5,AND(H29&gt;7000,H29&lt;=250000,ROUND(C29,12)&gt;=5,ROUND(C29,12)&lt;=30,ROUND(SUM(E29:G29),10)&lt;=310,ROUND(MAX(E29:G29),10)&lt;=150),6,TRUE,"不符合运输标准"))))))</x:f>
        <x:v>4</x:v>
      </x:c>
      <x:c r="J29" s="3" t="n">
        <x:f>IF(ISNUMBER(I29),ROUND(INDEX($E$3:$E$8,I29)+ROUND(C29,12)*INDEX($F$3:$F$8,I29),2),I29)</x:f>
        <x:v>598.83</x:v>
      </x:c>
    </x:row>
    <x:row r="30" ht="24" customHeight="1">
      <x:c r="B30" s="1" t="str">
        <x:v>30kg 超限</x:v>
      </x:c>
      <x:c r="C30" s="8" t="n">
        <x:v>30.00001</x:v>
      </x:c>
      <x:c r="D30" s="8" t="n">
        <x:v>100</x:v>
      </x:c>
      <x:c r="E30" s="9" t="n">
        <x:v>10</x:v>
      </x:c>
      <x:c r="F30" s="9" t="n">
        <x:v>10</x:v>
      </x:c>
      <x:c r="G30" s="9" t="n">
        <x:v>10</x:v>
      </x:c>
      <x:c r="H30" s="4" t="n">
        <x:f>IF(D30="","",IF(AND(ISNUMBER($J$2),$J$2&gt;0),ROUND(D30*$J$2,10),"汇率无效"))</x:f>
        <x:v>1200</x:v>
      </x:c>
      <x:c r="I30" s="10" t="str">
        <x:f>IF(OR(C30="",D30=""),"",IF(OR(NOT(ISNUMBER($J$2)),$J$2&lt;=0),"汇率无效",IF(OR(NOT(ISNUMBER(C30)),NOT(ISNUMBER(D30)),C30&lt;=0),"价格/重量无效",IF(COUNT(E30:G30)&lt;&gt;3,"请填写长宽高",IF(MIN(E30:G30)&lt;=0,"尺寸无效",_xlfn.IFS(AND(H30&gt;=1,H30&lt;=1500,ROUND(C30,12)&gt;0,ROUND(C30,12)&lt;=0.5,ROUND(SUM(E30:G30),10)&lt;=90,ROUND(MAX(E30:G30),10)&lt;=60),1,AND(H30&gt;1500,H30&lt;=7000,ROUND(C30,12)&gt;0,ROUND(C30,12)&lt;=2,ROUND(SUM(E30:G30),10)&lt;=150,ROUND(MAX(E30:G30),10)&lt;=60),2,AND(H30&gt;7000,H30&lt;=250000,ROUND(C30,12)&gt;0,ROUND(C30,12)&lt;=5,ROUND(SUM(E30:G30),10)&lt;=250,ROUND(MAX(E30:G30),10)&lt;=150),3,AND(H30&gt;=1,H30&lt;=1500,ROUND(C30,12)&gt;=0.5,ROUND(C30,12)&lt;=30,ROUND(SUM(E30:G30),10)&lt;=150,ROUND(MAX(E30:G30),10)&lt;=60),4,AND(H30&gt;1500,H30&lt;=7000,ROUND(C30,12)&gt;=2,ROUND(C30,12)&lt;=30,ROUND(SUM(E30:G30),10)&lt;=250,ROUND(MAX(E30:G30),10)&lt;=150),5,AND(H30&gt;7000,H30&lt;=250000,ROUND(C30,12)&gt;=5,ROUND(C30,12)&lt;=30,ROUND(SUM(E30:G30),10)&lt;=310,ROUND(MAX(E30:G30),10)&lt;=150),6,TRUE,"不符合运输标准"))))))</x:f>
        <x:v>不符合运输标准</x:v>
      </x:c>
      <x:c r="J30" s="3" t="str">
        <x:f>IF(ISNUMBER(I30),ROUND(INDEX($E$3:$E$8,I30)+ROUND(C30,12)*INDEX($F$3:$F$8,I30),2),I30)</x:f>
        <x:v>不符合运输标准</x:v>
      </x:c>
    </x:row>
    <x:row r="31" ht="24" customHeight="1">
      <x:c r="B31" s="1" t="str">
        <x:v>缺少尺寸</x:v>
      </x:c>
      <x:c r="C31" s="8" t="n">
        <x:v>0.4</x:v>
      </x:c>
      <x:c r="D31" s="8" t="n">
        <x:v>100</x:v>
      </x:c>
      <x:c r="E31" s="9"/>
      <x:c r="F31" s="9" t="n">
        <x:v>10</x:v>
      </x:c>
      <x:c r="G31" s="9" t="n">
        <x:v>10</x:v>
      </x:c>
      <x:c r="H31" s="4" t="n">
        <x:f>IF(D31="","",IF(AND(ISNUMBER($J$2),$J$2&gt;0),ROUND(D31*$J$2,10),"汇率无效"))</x:f>
        <x:v>1200</x:v>
      </x:c>
      <x:c r="I31" s="10" t="str">
        <x:f>IF(OR(C31="",D31=""),"",IF(OR(NOT(ISNUMBER($J$2)),$J$2&lt;=0),"汇率无效",IF(OR(NOT(ISNUMBER(C31)),NOT(ISNUMBER(D31)),C31&lt;=0),"价格/重量无效",IF(COUNT(E31:G31)&lt;&gt;3,"请填写长宽高",IF(MIN(E31:G31)&lt;=0,"尺寸无效",_xlfn.IFS(AND(H31&gt;=1,H31&lt;=1500,ROUND(C31,12)&gt;0,ROUND(C31,12)&lt;=0.5,ROUND(SUM(E31:G31),10)&lt;=90,ROUND(MAX(E31:G31),10)&lt;=60),1,AND(H31&gt;1500,H31&lt;=7000,ROUND(C31,12)&gt;0,ROUND(C31,12)&lt;=2,ROUND(SUM(E31:G31),10)&lt;=150,ROUND(MAX(E31:G31),10)&lt;=60),2,AND(H31&gt;7000,H31&lt;=250000,ROUND(C31,12)&gt;0,ROUND(C31,12)&lt;=5,ROUND(SUM(E31:G31),10)&lt;=250,ROUND(MAX(E31:G31),10)&lt;=150),3,AND(H31&gt;=1,H31&lt;=1500,ROUND(C31,12)&gt;=0.5,ROUND(C31,12)&lt;=30,ROUND(SUM(E31:G31),10)&lt;=150,ROUND(MAX(E31:G31),10)&lt;=60),4,AND(H31&gt;1500,H31&lt;=7000,ROUND(C31,12)&gt;=2,ROUND(C31,12)&lt;=30,ROUND(SUM(E31:G31),10)&lt;=250,ROUND(MAX(E31:G31),10)&lt;=150),5,AND(H31&gt;7000,H31&lt;=250000,ROUND(C31,12)&gt;=5,ROUND(C31,12)&lt;=30,ROUND(SUM(E31:G31),10)&lt;=310,ROUND(MAX(E31:G31),10)&lt;=150),6,TRUE,"不符合运输标准"))))))</x:f>
        <x:v>请填写长宽高</x:v>
      </x:c>
      <x:c r="J31" s="3" t="str">
        <x:f>IF(ISNUMBER(I31),ROUND(INDEX($E$3:$E$8,I31)+ROUND(C31,12)*INDEX($F$3:$F$8,I31),2),I31)</x:f>
        <x:v>请填写长宽高</x:v>
      </x:c>
    </x:row>
    <x:row r="32" ht="24" customHeight="1">
      <x:c r="B32" s="1" t="str">
        <x:v>尺寸超限</x:v>
      </x:c>
      <x:c r="C32" s="8" t="n">
        <x:v>0.4</x:v>
      </x:c>
      <x:c r="D32" s="8" t="n">
        <x:v>100</x:v>
      </x:c>
      <x:c r="E32" s="9" t="n">
        <x:v>61</x:v>
      </x:c>
      <x:c r="F32" s="9" t="n">
        <x:v>1</x:v>
      </x:c>
      <x:c r="G32" s="9" t="n">
        <x:v>1</x:v>
      </x:c>
      <x:c r="H32" s="4" t="n">
        <x:f>IF(D32="","",IF(AND(ISNUMBER($J$2),$J$2&gt;0),ROUND(D32*$J$2,10),"汇率无效"))</x:f>
        <x:v>1200</x:v>
      </x:c>
      <x:c r="I32" s="10" t="str">
        <x:f>IF(OR(C32="",D32=""),"",IF(OR(NOT(ISNUMBER($J$2)),$J$2&lt;=0),"汇率无效",IF(OR(NOT(ISNUMBER(C32)),NOT(ISNUMBER(D32)),C32&lt;=0),"价格/重量无效",IF(COUNT(E32:G32)&lt;&gt;3,"请填写长宽高",IF(MIN(E32:G32)&lt;=0,"尺寸无效",_xlfn.IFS(AND(H32&gt;=1,H32&lt;=1500,ROUND(C32,12)&gt;0,ROUND(C32,12)&lt;=0.5,ROUND(SUM(E32:G32),10)&lt;=90,ROUND(MAX(E32:G32),10)&lt;=60),1,AND(H32&gt;1500,H32&lt;=7000,ROUND(C32,12)&gt;0,ROUND(C32,12)&lt;=2,ROUND(SUM(E32:G32),10)&lt;=150,ROUND(MAX(E32:G32),10)&lt;=60),2,AND(H32&gt;7000,H32&lt;=250000,ROUND(C32,12)&gt;0,ROUND(C32,12)&lt;=5,ROUND(SUM(E32:G32),10)&lt;=250,ROUND(MAX(E32:G32),10)&lt;=150),3,AND(H32&gt;=1,H32&lt;=1500,ROUND(C32,12)&gt;=0.5,ROUND(C32,12)&lt;=30,ROUND(SUM(E32:G32),10)&lt;=150,ROUND(MAX(E32:G32),10)&lt;=60),4,AND(H32&gt;1500,H32&lt;=7000,ROUND(C32,12)&gt;=2,ROUND(C32,12)&lt;=30,ROUND(SUM(E32:G32),10)&lt;=250,ROUND(MAX(E32:G32),10)&lt;=150),5,AND(H32&gt;7000,H32&lt;=250000,ROUND(C32,12)&gt;=5,ROUND(C32,12)&lt;=30,ROUND(SUM(E32:G32),10)&lt;=310,ROUND(MAX(E32:G32),10)&lt;=150),6,TRUE,"不符合运输标准"))))))</x:f>
        <x:v>不符合运输标准</x:v>
      </x:c>
      <x:c r="J32" s="3" t="str">
        <x:f>IF(ISNUMBER(I32),ROUND(INDEX($E$3:$E$8,I32)+ROUND(C32,12)*INDEX($F$3:$F$8,I32),2),I32)</x:f>
        <x:v>不符合运输标准</x:v>
      </x:c>
    </x:row>
    <x:row r="33" ht="24" customHeight="1">
      <x:c r="B33" s="1" t="str">
        <x:v>Budget 0.53kg</x:v>
      </x:c>
      <x:c r="C33" s="8" t="n">
        <x:v>0.53</x:v>
      </x:c>
      <x:c r="D33" s="8" t="n">
        <x:v>100</x:v>
      </x:c>
      <x:c r="E33" s="9" t="n">
        <x:v>10</x:v>
      </x:c>
      <x:c r="F33" s="9" t="n">
        <x:v>20</x:v>
      </x:c>
      <x:c r="G33" s="9" t="n">
        <x:v>30</x:v>
      </x:c>
      <x:c r="H33" s="4" t="n">
        <x:f>IF(D33="","",IF(AND(ISNUMBER($J$2),$J$2&gt;0),ROUND(D33*$J$2,10),"汇率无效"))</x:f>
        <x:v>1200</x:v>
      </x:c>
      <x:c r="I33" s="10" t="n">
        <x:f>IF(OR(C33="",D33=""),"",IF(OR(NOT(ISNUMBER($J$2)),$J$2&lt;=0),"汇率无效",IF(OR(NOT(ISNUMBER(C33)),NOT(ISNUMBER(D33)),C33&lt;=0),"价格/重量无效",IF(COUNT(E33:G33)&lt;&gt;3,"请填写长宽高",IF(MIN(E33:G33)&lt;=0,"尺寸无效",_xlfn.IFS(AND(H33&gt;=1,H33&lt;=1500,ROUND(C33,12)&gt;0,ROUND(C33,12)&lt;=0.5,ROUND(SUM(E33:G33),10)&lt;=90,ROUND(MAX(E33:G33),10)&lt;=60),1,AND(H33&gt;1500,H33&lt;=7000,ROUND(C33,12)&gt;0,ROUND(C33,12)&lt;=2,ROUND(SUM(E33:G33),10)&lt;=150,ROUND(MAX(E33:G33),10)&lt;=60),2,AND(H33&gt;7000,H33&lt;=250000,ROUND(C33,12)&gt;0,ROUND(C33,12)&lt;=5,ROUND(SUM(E33:G33),10)&lt;=250,ROUND(MAX(E33:G33),10)&lt;=150),3,AND(H33&gt;=1,H33&lt;=1500,ROUND(C33,12)&gt;=0.5,ROUND(C33,12)&lt;=30,ROUND(SUM(E33:G33),10)&lt;=150,ROUND(MAX(E33:G33),10)&lt;=60),4,AND(H33&gt;1500,H33&lt;=7000,ROUND(C33,12)&gt;=2,ROUND(C33,12)&lt;=30,ROUND(SUM(E33:G33),10)&lt;=250,ROUND(MAX(E33:G33),10)&lt;=150),5,AND(H33&gt;7000,H33&lt;=250000,ROUND(C33,12)&gt;=5,ROUND(C33,12)&lt;=30,ROUND(SUM(E33:G33),10)&lt;=310,ROUND(MAX(E33:G33),10)&lt;=150),6,TRUE,"不符合运输标准"))))))</x:f>
        <x:v>4</x:v>
      </x:c>
      <x:c r="J33" s="3" t="n">
        <x:f>IF(ISNUMBER(I33),ROUND(INDEX($E$3:$E$8,I33)+ROUND(C33,12)*INDEX($F$3:$F$8,I33),2),I33)</x:f>
        <x:v>35.95</x:v>
      </x:c>
    </x:row>
    <x:row r="34" ht="24" customHeight="1">
      <x:c r="B34" s="1" t="str">
        <x:v>500g 大尺寸取Budget</x:v>
      </x:c>
      <x:c r="C34" s="8" t="n">
        <x:v>0.5</x:v>
      </x:c>
      <x:c r="D34" s="8" t="n">
        <x:v>100</x:v>
      </x:c>
      <x:c r="E34" s="9" t="n">
        <x:v>50</x:v>
      </x:c>
      <x:c r="F34" s="9" t="n">
        <x:v>30</x:v>
      </x:c>
      <x:c r="G34" s="9" t="n">
        <x:v>20</x:v>
      </x:c>
      <x:c r="H34" s="4" t="n">
        <x:f>IF(D34="","",IF(AND(ISNUMBER($J$2),$J$2&gt;0),ROUND(D34*$J$2,10),"汇率无效"))</x:f>
        <x:v>1200</x:v>
      </x:c>
      <x:c r="I34" s="10" t="n">
        <x:f>IF(OR(C34="",D34=""),"",IF(OR(NOT(ISNUMBER($J$2)),$J$2&lt;=0),"汇率无效",IF(OR(NOT(ISNUMBER(C34)),NOT(ISNUMBER(D34)),C34&lt;=0),"价格/重量无效",IF(COUNT(E34:G34)&lt;&gt;3,"请填写长宽高",IF(MIN(E34:G34)&lt;=0,"尺寸无效",_xlfn.IFS(AND(H34&gt;=1,H34&lt;=1500,ROUND(C34,12)&gt;0,ROUND(C34,12)&lt;=0.5,ROUND(SUM(E34:G34),10)&lt;=90,ROUND(MAX(E34:G34),10)&lt;=60),1,AND(H34&gt;1500,H34&lt;=7000,ROUND(C34,12)&gt;0,ROUND(C34,12)&lt;=2,ROUND(SUM(E34:G34),10)&lt;=150,ROUND(MAX(E34:G34),10)&lt;=60),2,AND(H34&gt;7000,H34&lt;=250000,ROUND(C34,12)&gt;0,ROUND(C34,12)&lt;=5,ROUND(SUM(E34:G34),10)&lt;=250,ROUND(MAX(E34:G34),10)&lt;=150),3,AND(H34&gt;=1,H34&lt;=1500,ROUND(C34,12)&gt;=0.5,ROUND(C34,12)&lt;=30,ROUND(SUM(E34:G34),10)&lt;=150,ROUND(MAX(E34:G34),10)&lt;=60),4,AND(H34&gt;1500,H34&lt;=7000,ROUND(C34,12)&gt;=2,ROUND(C34,12)&lt;=30,ROUND(SUM(E34:G34),10)&lt;=250,ROUND(MAX(E34:G34),10)&lt;=150),5,AND(H34&gt;7000,H34&lt;=250000,ROUND(C34,12)&gt;=5,ROUND(C34,12)&lt;=30,ROUND(SUM(E34:G34),10)&lt;=310,ROUND(MAX(E34:G34),10)&lt;=150),6,TRUE,"不符合运输标准"))))))</x:f>
        <x:v>4</x:v>
      </x:c>
      <x:c r="J34" s="3" t="n">
        <x:f>IF(ISNUMBER(I34),ROUND(INDEX($E$3:$E$8,I34)+ROUND(C34,12)*INDEX($F$3:$F$8,I34),2),I34)</x:f>
        <x:v>35.38</x:v>
      </x:c>
    </x:row>
    <x:row r="35" ht="24" customHeight="1">
      <x:c r="B35" s="1" t="str">
        <x:v>2kg 大尺寸取Big</x:v>
      </x:c>
      <x:c r="C35" s="8" t="n">
        <x:v>2</x:v>
      </x:c>
      <x:c r="D35" s="8" t="n">
        <x:v>200</x:v>
      </x:c>
      <x:c r="E35" s="9" t="n">
        <x:v>80</x:v>
      </x:c>
      <x:c r="F35" s="9" t="n">
        <x:v>20</x:v>
      </x:c>
      <x:c r="G35" s="9" t="n">
        <x:v>20</x:v>
      </x:c>
      <x:c r="H35" s="4" t="n">
        <x:f>IF(D35="","",IF(AND(ISNUMBER($J$2),$J$2&gt;0),ROUND(D35*$J$2,10),"汇率无效"))</x:f>
        <x:v>2400</x:v>
      </x:c>
      <x:c r="I35" s="10" t="n">
        <x:f>IF(OR(C35="",D35=""),"",IF(OR(NOT(ISNUMBER($J$2)),$J$2&lt;=0),"汇率无效",IF(OR(NOT(ISNUMBER(C35)),NOT(ISNUMBER(D35)),C35&lt;=0),"价格/重量无效",IF(COUNT(E35:G35)&lt;&gt;3,"请填写长宽高",IF(MIN(E35:G35)&lt;=0,"尺寸无效",_xlfn.IFS(AND(H35&gt;=1,H35&lt;=1500,ROUND(C35,12)&gt;0,ROUND(C35,12)&lt;=0.5,ROUND(SUM(E35:G35),10)&lt;=90,ROUND(MAX(E35:G35),10)&lt;=60),1,AND(H35&gt;1500,H35&lt;=7000,ROUND(C35,12)&gt;0,ROUND(C35,12)&lt;=2,ROUND(SUM(E35:G35),10)&lt;=150,ROUND(MAX(E35:G35),10)&lt;=60),2,AND(H35&gt;7000,H35&lt;=250000,ROUND(C35,12)&gt;0,ROUND(C35,12)&lt;=5,ROUND(SUM(E35:G35),10)&lt;=250,ROUND(MAX(E35:G35),10)&lt;=150),3,AND(H35&gt;=1,H35&lt;=1500,ROUND(C35,12)&gt;=0.5,ROUND(C35,12)&lt;=30,ROUND(SUM(E35:G35),10)&lt;=150,ROUND(MAX(E35:G35),10)&lt;=60),4,AND(H35&gt;1500,H35&lt;=7000,ROUND(C35,12)&gt;=2,ROUND(C35,12)&lt;=30,ROUND(SUM(E35:G35),10)&lt;=250,ROUND(MAX(E35:G35),10)&lt;=150),5,AND(H35&gt;7000,H35&lt;=250000,ROUND(C35,12)&gt;=5,ROUND(C35,12)&lt;=30,ROUND(SUM(E35:G35),10)&lt;=310,ROUND(MAX(E35:G35),10)&lt;=150),6,TRUE,"不符合运输标准"))))))</x:f>
        <x:v>5</x:v>
      </x:c>
      <x:c r="J35" s="3" t="n">
        <x:f>IF(ISNUMBER(I35),ROUND(INDEX($E$3:$E$8,I35)+ROUND(C35,12)*INDEX($F$3:$F$8,I35),2),I35)</x:f>
        <x:v>96.64</x:v>
      </x:c>
    </x:row>
    <x:row r="36" ht="24" customHeight="1">
      <x:c r="B36" s="1" t="str">
        <x:v>250000 RUB 含端点</x:v>
      </x:c>
      <x:c r="C36" s="8" t="n">
        <x:v>1</x:v>
      </x:c>
      <x:c r="D36" s="8" t="n">
        <x:v>20833.333333333332</x:v>
      </x:c>
      <x:c r="E36" s="9" t="n">
        <x:v>10</x:v>
      </x:c>
      <x:c r="F36" s="9" t="n">
        <x:v>10</x:v>
      </x:c>
      <x:c r="G36" s="9" t="n">
        <x:v>10</x:v>
      </x:c>
      <x:c r="H36" s="4" t="n">
        <x:f>IF(D36="","",IF(AND(ISNUMBER($J$2),$J$2&gt;0),ROUND(D36*$J$2,10),"汇率无效"))</x:f>
        <x:v>250000</x:v>
      </x:c>
      <x:c r="I36" s="10" t="n">
        <x:f>IF(OR(C36="",D36=""),"",IF(OR(NOT(ISNUMBER($J$2)),$J$2&lt;=0),"汇率无效",IF(OR(NOT(ISNUMBER(C36)),NOT(ISNUMBER(D36)),C36&lt;=0),"价格/重量无效",IF(COUNT(E36:G36)&lt;&gt;3,"请填写长宽高",IF(MIN(E36:G36)&lt;=0,"尺寸无效",_xlfn.IFS(AND(H36&gt;=1,H36&lt;=1500,ROUND(C36,12)&gt;0,ROUND(C36,12)&lt;=0.5,ROUND(SUM(E36:G36),10)&lt;=90,ROUND(MAX(E36:G36),10)&lt;=60),1,AND(H36&gt;1500,H36&lt;=7000,ROUND(C36,12)&gt;0,ROUND(C36,12)&lt;=2,ROUND(SUM(E36:G36),10)&lt;=150,ROUND(MAX(E36:G36),10)&lt;=60),2,AND(H36&gt;7000,H36&lt;=250000,ROUND(C36,12)&gt;0,ROUND(C36,12)&lt;=5,ROUND(SUM(E36:G36),10)&lt;=250,ROUND(MAX(E36:G36),10)&lt;=150),3,AND(H36&gt;=1,H36&lt;=1500,ROUND(C36,12)&gt;=0.5,ROUND(C36,12)&lt;=30,ROUND(SUM(E36:G36),10)&lt;=150,ROUND(MAX(E36:G36),10)&lt;=60),4,AND(H36&gt;1500,H36&lt;=7000,ROUND(C36,12)&gt;=2,ROUND(C36,12)&lt;=30,ROUND(SUM(E36:G36),10)&lt;=250,ROUND(MAX(E36:G36),10)&lt;=150),5,AND(H36&gt;7000,H36&lt;=250000,ROUND(C36,12)&gt;=5,ROUND(C36,12)&lt;=30,ROUND(SUM(E36:G36),10)&lt;=310,ROUND(MAX(E36:G36),10)&lt;=150),6,TRUE,"不符合运输标准"))))))</x:f>
        <x:v>3</x:v>
      </x:c>
      <x:c r="J36" s="3" t="n">
        <x:f>IF(ISNUMBER(I36),ROUND(INDEX($E$3:$E$8,I36)+ROUND(C36,12)*INDEX($F$3:$F$8,I36),2),I36)</x:f>
        <x:v>52.81</x:v>
      </x:c>
    </x:row>
    <x:row r="37" ht="24" customHeight="1">
      <x:c r="B37" s="1" t="str">
        <x:v>250000.01 RUB 超限</x:v>
      </x:c>
      <x:c r="C37" s="8" t="n">
        <x:v>1</x:v>
      </x:c>
      <x:c r="D37" s="8" t="n">
        <x:v>20833.334166666667</x:v>
      </x:c>
      <x:c r="E37" s="9" t="n">
        <x:v>10</x:v>
      </x:c>
      <x:c r="F37" s="9" t="n">
        <x:v>10</x:v>
      </x:c>
      <x:c r="G37" s="9" t="n">
        <x:v>10</x:v>
      </x:c>
      <x:c r="H37" s="4" t="n">
        <x:f>IF(D37="","",IF(AND(ISNUMBER($J$2),$J$2&gt;0),ROUND(D37*$J$2,10),"汇率无效"))</x:f>
        <x:v>250000.01</x:v>
      </x:c>
      <x:c r="I37" s="10" t="str">
        <x:f>IF(OR(C37="",D37=""),"",IF(OR(NOT(ISNUMBER($J$2)),$J$2&lt;=0),"汇率无效",IF(OR(NOT(ISNUMBER(C37)),NOT(ISNUMBER(D37)),C37&lt;=0),"价格/重量无效",IF(COUNT(E37:G37)&lt;&gt;3,"请填写长宽高",IF(MIN(E37:G37)&lt;=0,"尺寸无效",_xlfn.IFS(AND(H37&gt;=1,H37&lt;=1500,ROUND(C37,12)&gt;0,ROUND(C37,12)&lt;=0.5,ROUND(SUM(E37:G37),10)&lt;=90,ROUND(MAX(E37:G37),10)&lt;=60),1,AND(H37&gt;1500,H37&lt;=7000,ROUND(C37,12)&gt;0,ROUND(C37,12)&lt;=2,ROUND(SUM(E37:G37),10)&lt;=150,ROUND(MAX(E37:G37),10)&lt;=60),2,AND(H37&gt;7000,H37&lt;=250000,ROUND(C37,12)&gt;0,ROUND(C37,12)&lt;=5,ROUND(SUM(E37:G37),10)&lt;=250,ROUND(MAX(E37:G37),10)&lt;=150),3,AND(H37&gt;=1,H37&lt;=1500,ROUND(C37,12)&gt;=0.5,ROUND(C37,12)&lt;=30,ROUND(SUM(E37:G37),10)&lt;=150,ROUND(MAX(E37:G37),10)&lt;=60),4,AND(H37&gt;1500,H37&lt;=7000,ROUND(C37,12)&gt;=2,ROUND(C37,12)&lt;=30,ROUND(SUM(E37:G37),10)&lt;=250,ROUND(MAX(E37:G37),10)&lt;=150),5,AND(H37&gt;7000,H37&lt;=250000,ROUND(C37,12)&gt;=5,ROUND(C37,12)&lt;=30,ROUND(SUM(E37:G37),10)&lt;=310,ROUND(MAX(E37:G37),10)&lt;=150),6,TRUE,"不符合运输标准"))))))</x:f>
        <x:v>不符合运输标准</x:v>
      </x:c>
      <x:c r="J37" s="3" t="str">
        <x:f>IF(ISNUMBER(I37),ROUND(INDEX($E$3:$E$8,I37)+ROUND(C37,12)*INDEX($F$3:$F$8,I37),2),I37)</x:f>
        <x:v>不符合运输标准</x:v>
      </x:c>
    </x:row>
  </x:sheetData>
  <x:pageMargins left="0.7" right="0.7" top="0.75" bottom="0.75" header="0.3" footer="0.3"/>
</x:worksheet>
</file>